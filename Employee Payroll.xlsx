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hidePivotFieldList="1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8_{010A0506-E14D-4A72-A8FA-E6F518FB1FFF}" xr6:coauthVersionLast="47" xr6:coauthVersionMax="47" xr10:uidLastSave="{00000000-0000-0000-0000-000000000000}"/>
  <bookViews>
    <workbookView xWindow="-110" yWindow="-110" windowWidth="21820" windowHeight="13900" xr2:uid="{00000000-000D-0000-FFFF-FFFF00000000}"/>
  </bookViews>
  <sheets>
    <sheet name="Sheet2" sheetId="2" r:id="rId1"/>
  </sheets>
  <calcPr calcId="181029"/>
</workbook>
</file>

<file path=xl/calcChain.xml><?xml version="1.0" encoding="utf-8"?>
<calcChain xmlns="http://schemas.openxmlformats.org/spreadsheetml/2006/main">
  <c r="Y22" i="2" l="1"/>
  <c r="Z22" i="2"/>
  <c r="AA22" i="2"/>
  <c r="AB22" i="2"/>
  <c r="Y23" i="2"/>
  <c r="Z23" i="2"/>
  <c r="AA23" i="2"/>
  <c r="AB23" i="2"/>
  <c r="Y24" i="2"/>
  <c r="Z24" i="2"/>
  <c r="AA24" i="2"/>
  <c r="AB24" i="2"/>
  <c r="X24" i="2"/>
  <c r="X23" i="2"/>
  <c r="X22" i="2"/>
  <c r="O22" i="2"/>
  <c r="P22" i="2"/>
  <c r="Q22" i="2"/>
  <c r="R22" i="2"/>
  <c r="O23" i="2"/>
  <c r="P23" i="2"/>
  <c r="Q23" i="2"/>
  <c r="R23" i="2"/>
  <c r="O24" i="2"/>
  <c r="P24" i="2"/>
  <c r="Q24" i="2"/>
  <c r="R24" i="2"/>
  <c r="N24" i="2"/>
  <c r="N23" i="2"/>
  <c r="N22" i="2"/>
  <c r="U25" i="2"/>
  <c r="V25" i="2"/>
  <c r="W25" i="2"/>
  <c r="X25" i="2"/>
  <c r="Y25" i="2"/>
  <c r="Z25" i="2"/>
  <c r="AA25" i="2"/>
  <c r="AB25" i="2"/>
  <c r="AC25" i="2"/>
  <c r="AD25" i="2"/>
  <c r="P25" i="2"/>
  <c r="Q25" i="2"/>
  <c r="R25" i="2"/>
  <c r="S25" i="2"/>
  <c r="T25" i="2"/>
  <c r="O25" i="2"/>
  <c r="AD5" i="2"/>
  <c r="AD6" i="2"/>
  <c r="AD7" i="2"/>
  <c r="AD8" i="2"/>
  <c r="AD9" i="2"/>
  <c r="AD10" i="2"/>
  <c r="AD11" i="2"/>
  <c r="AD12" i="2"/>
  <c r="AD13" i="2"/>
  <c r="AD14" i="2"/>
  <c r="AD15" i="2"/>
  <c r="AD16" i="2"/>
  <c r="AD17" i="2"/>
  <c r="AD18" i="2"/>
  <c r="AD19" i="2"/>
  <c r="AD20" i="2"/>
  <c r="AD4" i="2"/>
  <c r="Y4" i="2"/>
  <c r="Z4" i="2"/>
  <c r="AA4" i="2"/>
  <c r="AB4" i="2"/>
  <c r="Y5" i="2"/>
  <c r="Z5" i="2"/>
  <c r="AA5" i="2"/>
  <c r="AB5" i="2"/>
  <c r="Y6" i="2"/>
  <c r="Z6" i="2"/>
  <c r="AA6" i="2"/>
  <c r="AB6" i="2"/>
  <c r="Y7" i="2"/>
  <c r="Z7" i="2"/>
  <c r="AA7" i="2"/>
  <c r="AB7" i="2"/>
  <c r="Y8" i="2"/>
  <c r="Z8" i="2"/>
  <c r="AA8" i="2"/>
  <c r="AB8" i="2"/>
  <c r="Y9" i="2"/>
  <c r="Z9" i="2"/>
  <c r="AA9" i="2"/>
  <c r="AB9" i="2"/>
  <c r="Y10" i="2"/>
  <c r="Z10" i="2"/>
  <c r="AA10" i="2"/>
  <c r="AB10" i="2"/>
  <c r="Y11" i="2"/>
  <c r="Z11" i="2"/>
  <c r="AA11" i="2"/>
  <c r="AB11" i="2"/>
  <c r="Y12" i="2"/>
  <c r="Z12" i="2"/>
  <c r="AA12" i="2"/>
  <c r="AB12" i="2"/>
  <c r="Y13" i="2"/>
  <c r="Z13" i="2"/>
  <c r="AA13" i="2"/>
  <c r="AB13" i="2"/>
  <c r="Y14" i="2"/>
  <c r="Z14" i="2"/>
  <c r="AA14" i="2"/>
  <c r="AB14" i="2"/>
  <c r="Y15" i="2"/>
  <c r="Z15" i="2"/>
  <c r="AA15" i="2"/>
  <c r="AB15" i="2"/>
  <c r="Y16" i="2"/>
  <c r="Z16" i="2"/>
  <c r="AA16" i="2"/>
  <c r="AB16" i="2"/>
  <c r="Y17" i="2"/>
  <c r="Z17" i="2"/>
  <c r="AA17" i="2"/>
  <c r="AB17" i="2"/>
  <c r="Y18" i="2"/>
  <c r="Z18" i="2"/>
  <c r="AA18" i="2"/>
  <c r="AB18" i="2"/>
  <c r="Y19" i="2"/>
  <c r="Z19" i="2"/>
  <c r="AA19" i="2"/>
  <c r="AB19" i="2"/>
  <c r="Y20" i="2"/>
  <c r="Z20" i="2"/>
  <c r="AA20" i="2"/>
  <c r="AB20" i="2"/>
  <c r="Z3" i="2"/>
  <c r="AA3" i="2"/>
  <c r="AB3" i="2" s="1"/>
  <c r="Y3" i="2"/>
  <c r="U4" i="2"/>
  <c r="V4" i="2"/>
  <c r="W4" i="2"/>
  <c r="U5" i="2"/>
  <c r="V5" i="2"/>
  <c r="W5" i="2"/>
  <c r="U6" i="2"/>
  <c r="V6" i="2"/>
  <c r="W6" i="2"/>
  <c r="U7" i="2"/>
  <c r="V7" i="2"/>
  <c r="W7" i="2"/>
  <c r="U8" i="2"/>
  <c r="V8" i="2"/>
  <c r="W8" i="2"/>
  <c r="U9" i="2"/>
  <c r="V9" i="2"/>
  <c r="W9" i="2"/>
  <c r="U10" i="2"/>
  <c r="V10" i="2"/>
  <c r="W10" i="2"/>
  <c r="U11" i="2"/>
  <c r="V11" i="2"/>
  <c r="W11" i="2"/>
  <c r="U12" i="2"/>
  <c r="V12" i="2"/>
  <c r="W12" i="2"/>
  <c r="U13" i="2"/>
  <c r="V13" i="2"/>
  <c r="W13" i="2"/>
  <c r="U14" i="2"/>
  <c r="V14" i="2"/>
  <c r="W14" i="2"/>
  <c r="U15" i="2"/>
  <c r="V15" i="2"/>
  <c r="W15" i="2"/>
  <c r="U16" i="2"/>
  <c r="V16" i="2"/>
  <c r="W16" i="2"/>
  <c r="U17" i="2"/>
  <c r="V17" i="2"/>
  <c r="W17" i="2"/>
  <c r="U18" i="2"/>
  <c r="V18" i="2"/>
  <c r="W18" i="2"/>
  <c r="U19" i="2"/>
  <c r="V19" i="2"/>
  <c r="W19" i="2"/>
  <c r="U20" i="2"/>
  <c r="V20" i="2"/>
  <c r="W20" i="2"/>
  <c r="T20" i="2"/>
  <c r="T19" i="2"/>
  <c r="T18" i="2"/>
  <c r="T17" i="2"/>
  <c r="T16" i="2"/>
  <c r="T15" i="2"/>
  <c r="T14" i="2"/>
  <c r="T13" i="2"/>
  <c r="T12" i="2"/>
  <c r="T11" i="2"/>
  <c r="T10" i="2"/>
  <c r="T9" i="2"/>
  <c r="T8" i="2"/>
  <c r="T7" i="2"/>
  <c r="T6" i="2"/>
  <c r="T5" i="2"/>
  <c r="T4" i="2"/>
  <c r="S4" i="2"/>
  <c r="T3" i="2"/>
  <c r="U3" i="2" s="1"/>
  <c r="V3" i="2" s="1"/>
  <c r="W3" i="2" s="1"/>
  <c r="Q4" i="2"/>
  <c r="R4" i="2"/>
  <c r="Q5" i="2"/>
  <c r="R5" i="2"/>
  <c r="Q6" i="2"/>
  <c r="R6" i="2"/>
  <c r="Q7" i="2"/>
  <c r="R7" i="2"/>
  <c r="Q8" i="2"/>
  <c r="R8" i="2"/>
  <c r="Q9" i="2"/>
  <c r="R9" i="2"/>
  <c r="Q10" i="2"/>
  <c r="R10" i="2"/>
  <c r="Q11" i="2"/>
  <c r="R11" i="2"/>
  <c r="Q12" i="2"/>
  <c r="R12" i="2"/>
  <c r="Q13" i="2"/>
  <c r="R13" i="2"/>
  <c r="Q14" i="2"/>
  <c r="R14" i="2"/>
  <c r="Q15" i="2"/>
  <c r="R15" i="2"/>
  <c r="Q16" i="2"/>
  <c r="R16" i="2"/>
  <c r="Q17" i="2"/>
  <c r="R17" i="2"/>
  <c r="Q18" i="2"/>
  <c r="R18" i="2"/>
  <c r="Q19" i="2"/>
  <c r="R19" i="2"/>
  <c r="Q20" i="2"/>
  <c r="R20" i="2"/>
  <c r="P20" i="2"/>
  <c r="P19" i="2"/>
  <c r="P18" i="2"/>
  <c r="P17" i="2"/>
  <c r="P16" i="2"/>
  <c r="P15" i="2"/>
  <c r="P14" i="2"/>
  <c r="P13" i="2"/>
  <c r="P12" i="2"/>
  <c r="P11" i="2"/>
  <c r="P10" i="2"/>
  <c r="P9" i="2"/>
  <c r="P8" i="2"/>
  <c r="P7" i="2"/>
  <c r="P6" i="2"/>
  <c r="P5" i="2"/>
  <c r="P4" i="2"/>
  <c r="O20" i="2"/>
  <c r="O19" i="2"/>
  <c r="O18" i="2"/>
  <c r="O17" i="2"/>
  <c r="O16" i="2"/>
  <c r="O15" i="2"/>
  <c r="O14" i="2"/>
  <c r="O13" i="2"/>
  <c r="O12" i="2"/>
  <c r="O11" i="2"/>
  <c r="O10" i="2"/>
  <c r="O9" i="2"/>
  <c r="O8" i="2"/>
  <c r="O7" i="2"/>
  <c r="O6" i="2"/>
  <c r="O5" i="2"/>
  <c r="O4" i="2"/>
  <c r="N4" i="2"/>
  <c r="O3" i="2"/>
  <c r="P3" i="2" s="1"/>
  <c r="Q3" i="2" s="1"/>
  <c r="R3" i="2" s="1"/>
  <c r="M20" i="2"/>
  <c r="M19" i="2"/>
  <c r="M18" i="2"/>
  <c r="M17" i="2"/>
  <c r="M16" i="2"/>
  <c r="M15" i="2"/>
  <c r="M14" i="2"/>
  <c r="M13" i="2"/>
  <c r="M12" i="2"/>
  <c r="M11" i="2"/>
  <c r="M10" i="2"/>
  <c r="M9" i="2"/>
  <c r="M8" i="2"/>
  <c r="M7" i="2"/>
  <c r="M6" i="2"/>
  <c r="M5" i="2"/>
  <c r="M4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J3" i="2"/>
  <c r="K3" i="2" s="1"/>
  <c r="L3" i="2" s="1"/>
  <c r="M3" i="2" s="1"/>
  <c r="E3" i="2"/>
  <c r="F3" i="2" s="1"/>
  <c r="G3" i="2" s="1"/>
  <c r="H3" i="2" s="1"/>
  <c r="C25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5" i="2"/>
  <c r="I5" i="2"/>
  <c r="S5" i="2" s="1"/>
  <c r="I6" i="2"/>
  <c r="S6" i="2" s="1"/>
  <c r="I7" i="2"/>
  <c r="S7" i="2" s="1"/>
  <c r="I8" i="2"/>
  <c r="S8" i="2" s="1"/>
  <c r="I9" i="2"/>
  <c r="S9" i="2" s="1"/>
  <c r="I10" i="2"/>
  <c r="S10" i="2" s="1"/>
  <c r="I11" i="2"/>
  <c r="S11" i="2" s="1"/>
  <c r="I12" i="2"/>
  <c r="S12" i="2" s="1"/>
  <c r="I13" i="2"/>
  <c r="S13" i="2" s="1"/>
  <c r="I14" i="2"/>
  <c r="S14" i="2" s="1"/>
  <c r="I15" i="2"/>
  <c r="S15" i="2" s="1"/>
  <c r="I16" i="2"/>
  <c r="S16" i="2" s="1"/>
  <c r="I17" i="2"/>
  <c r="S17" i="2" s="1"/>
  <c r="I18" i="2"/>
  <c r="S18" i="2" s="1"/>
  <c r="I19" i="2"/>
  <c r="S19" i="2" s="1"/>
  <c r="I20" i="2"/>
  <c r="S20" i="2" s="1"/>
  <c r="I4" i="2"/>
  <c r="D24" i="2"/>
  <c r="D23" i="2"/>
  <c r="D22" i="2"/>
  <c r="C24" i="2"/>
  <c r="C23" i="2"/>
  <c r="C22" i="2"/>
  <c r="X5" i="2" l="1"/>
  <c r="X6" i="2"/>
  <c r="X7" i="2"/>
  <c r="X8" i="2"/>
  <c r="X9" i="2"/>
  <c r="X10" i="2"/>
  <c r="X11" i="2"/>
  <c r="X12" i="2"/>
  <c r="X13" i="2"/>
  <c r="X14" i="2"/>
  <c r="X15" i="2"/>
  <c r="X16" i="2"/>
  <c r="X17" i="2"/>
  <c r="X18" i="2"/>
  <c r="X19" i="2"/>
  <c r="X20" i="2"/>
  <c r="X4" i="2"/>
</calcChain>
</file>

<file path=xl/sharedStrings.xml><?xml version="1.0" encoding="utf-8"?>
<sst xmlns="http://schemas.openxmlformats.org/spreadsheetml/2006/main" count="49" uniqueCount="49">
  <si>
    <t>shuaib</t>
  </si>
  <si>
    <t>kemi</t>
  </si>
  <si>
    <t xml:space="preserve">wale </t>
  </si>
  <si>
    <t>ramat</t>
  </si>
  <si>
    <t>shola</t>
  </si>
  <si>
    <t>aishat</t>
  </si>
  <si>
    <t>fatai</t>
  </si>
  <si>
    <t>hikmat</t>
  </si>
  <si>
    <t>joshua</t>
  </si>
  <si>
    <t>maryam</t>
  </si>
  <si>
    <t>lateef</t>
  </si>
  <si>
    <t>zainab</t>
  </si>
  <si>
    <t>jamiu</t>
  </si>
  <si>
    <t>tolu</t>
  </si>
  <si>
    <t>mumeen</t>
  </si>
  <si>
    <t>malik</t>
  </si>
  <si>
    <t>alabi</t>
  </si>
  <si>
    <t>adunola</t>
  </si>
  <si>
    <t>suleiman</t>
  </si>
  <si>
    <t>patrick</t>
  </si>
  <si>
    <t>esther</t>
  </si>
  <si>
    <t>john</t>
  </si>
  <si>
    <t>eniola</t>
  </si>
  <si>
    <t>ishola</t>
  </si>
  <si>
    <t>ella</t>
  </si>
  <si>
    <t>munir</t>
  </si>
  <si>
    <t>nurudeen</t>
  </si>
  <si>
    <t>sekinat</t>
  </si>
  <si>
    <t>johnson</t>
  </si>
  <si>
    <t>mirabel</t>
  </si>
  <si>
    <t>muftau</t>
  </si>
  <si>
    <t>tawa</t>
  </si>
  <si>
    <t xml:space="preserve">adeola </t>
  </si>
  <si>
    <t>EMPLOYEE PAYROLL</t>
  </si>
  <si>
    <t>Last Name</t>
  </si>
  <si>
    <t>First Name</t>
  </si>
  <si>
    <t>Hourly Wage</t>
  </si>
  <si>
    <t>HOURS WORKED</t>
  </si>
  <si>
    <t>PAY</t>
  </si>
  <si>
    <t>MAX</t>
  </si>
  <si>
    <t>MIN</t>
  </si>
  <si>
    <t>AVERAGE</t>
  </si>
  <si>
    <t>TOTAL</t>
  </si>
  <si>
    <t>OVERTIME HOURS</t>
  </si>
  <si>
    <t>OVERTIME BONUS</t>
  </si>
  <si>
    <t>TOTAL PAY</t>
  </si>
  <si>
    <t xml:space="preserve"> </t>
  </si>
  <si>
    <t>JANUARY PAY</t>
  </si>
  <si>
    <t>fathiat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</si>
</sst>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$₦-46A]#,##0.00"/>
  </numFmts>
  <fonts count="9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i/>
      <sz val="11"/>
      <color rgb="FF7030A0"/>
      <name val="Calibri"/>
      <family val="2"/>
      <scheme val="minor"/>
    </font>
    <font>
      <b/>
      <i/>
      <sz val="11"/>
      <color theme="7"/>
      <name val="Calibri"/>
      <family val="2"/>
      <scheme val="minor"/>
    </font>
    <font>
      <b/>
      <i/>
      <sz val="11"/>
      <color theme="4"/>
      <name val="Calibri"/>
      <family val="2"/>
      <scheme val="minor"/>
    </font>
    <font>
      <b/>
      <i/>
      <sz val="11"/>
      <color theme="9"/>
      <name val="Calibri"/>
      <family val="2"/>
      <scheme val="minor"/>
    </font>
    <font>
      <b/>
      <i/>
      <sz val="11"/>
      <color theme="8"/>
      <name val="Calibri"/>
      <family val="2"/>
      <scheme val="minor"/>
    </font>
    <font>
      <b/>
      <i/>
      <sz val="11"/>
      <color theme="9" tint="-0.499984740745262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2">
    <xf numFmtId="0" fontId="0" fillId="0" borderId="0" xfId="0"/>
    <xf numFmtId="164" fontId="0" fillId="0" borderId="0" xfId="0" applyNumberFormat="1"/>
    <xf numFmtId="16" fontId="0" fillId="2" borderId="0" xfId="0" applyNumberFormat="1" applyFill="1"/>
    <xf numFmtId="16" fontId="0" fillId="4" borderId="0" xfId="0" applyNumberFormat="1" applyFill="1"/>
    <xf numFmtId="0" fontId="3" fillId="0" borderId="0" xfId="0" applyFont="1"/>
    <xf numFmtId="0" fontId="1" fillId="0" borderId="0" xfId="0" applyFont="1"/>
    <xf numFmtId="165" fontId="0" fillId="0" borderId="0" xfId="0" applyNumberFormat="1"/>
    <xf numFmtId="0" fontId="2" fillId="5" borderId="0" xfId="0" applyFont="1" applyFill="1"/>
    <xf numFmtId="165" fontId="2" fillId="5" borderId="0" xfId="0" applyNumberFormat="1" applyFont="1" applyFill="1"/>
    <xf numFmtId="0" fontId="4" fillId="0" borderId="0" xfId="0" applyFont="1"/>
    <xf numFmtId="16" fontId="0" fillId="0" borderId="0" xfId="0" applyNumberFormat="1"/>
    <xf numFmtId="0" fontId="5" fillId="0" borderId="0" xfId="0" applyFont="1"/>
    <xf numFmtId="0" fontId="6" fillId="0" borderId="0" xfId="0" applyFont="1"/>
    <xf numFmtId="0" fontId="8" fillId="0" borderId="0" xfId="0" applyFont="1"/>
    <xf numFmtId="0" fontId="7" fillId="0" borderId="0" xfId="0" applyFont="1"/>
    <xf numFmtId="1" fontId="0" fillId="0" borderId="0" xfId="0" applyNumberFormat="1"/>
    <xf numFmtId="16" fontId="2" fillId="6" borderId="0" xfId="0" applyNumberFormat="1" applyFont="1" applyFill="1"/>
    <xf numFmtId="16" fontId="2" fillId="7" borderId="0" xfId="0" applyNumberFormat="1" applyFont="1" applyFill="1"/>
    <xf numFmtId="16" fontId="2" fillId="8" borderId="0" xfId="0" applyNumberFormat="1" applyFont="1" applyFill="1"/>
    <xf numFmtId="165" fontId="0" fillId="3" borderId="0" xfId="0" applyNumberFormat="1" applyFill="1"/>
    <xf numFmtId="0" fontId="2" fillId="0" borderId="0" xfId="0" applyFont="1"/>
    <xf numFmtId="165" fontId="2" fillId="9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37729-71C2-4A39-BA5E-54B0C8D83F58}">
  <dimension ref="A1:AD33"/>
  <sheetViews>
    <sheetView tabSelected="1" zoomScale="97" workbookViewId="0">
      <selection activeCell="M34" sqref="M34"/>
    </sheetView>
  </sheetViews>
  <sheetFormatPr defaultRowHeight="14.5"/>
  <cols>
    <col min="1" max="1" width="10.81640625" customWidth="1"/>
    <col min="2" max="2" width="10.6328125" customWidth="1"/>
    <col min="3" max="3" width="12.453125" style="6" customWidth="1"/>
    <col min="4" max="4" width="14.54296875" customWidth="1"/>
    <col min="5" max="5" width="5.7265625" customWidth="1"/>
    <col min="6" max="6" width="6.453125" customWidth="1"/>
    <col min="7" max="7" width="7.08984375" customWidth="1"/>
    <col min="8" max="8" width="6.90625" customWidth="1"/>
    <col min="9" max="9" width="16.26953125" customWidth="1"/>
    <col min="10" max="10" width="6.1796875" customWidth="1"/>
    <col min="11" max="11" width="6.6328125" customWidth="1"/>
    <col min="12" max="12" width="6" customWidth="1"/>
    <col min="13" max="13" width="6.08984375" customWidth="1"/>
    <col min="14" max="18" width="10.26953125" customWidth="1"/>
    <col min="19" max="19" width="16.08984375" customWidth="1"/>
    <col min="20" max="20" width="9.453125" customWidth="1"/>
    <col min="21" max="21" width="9.26953125" customWidth="1"/>
    <col min="22" max="22" width="7.81640625" customWidth="1"/>
    <col min="23" max="23" width="8.453125" customWidth="1"/>
    <col min="24" max="24" width="10.1796875" customWidth="1"/>
    <col min="25" max="25" width="10.08984375" customWidth="1"/>
    <col min="26" max="26" width="10.6328125" customWidth="1"/>
    <col min="27" max="27" width="10.36328125" customWidth="1"/>
    <col min="28" max="28" width="11.54296875" customWidth="1"/>
    <col min="30" max="30" width="12.1796875" customWidth="1"/>
  </cols>
  <sheetData>
    <row r="1" spans="1:30">
      <c r="A1" s="4" t="s">
        <v>33</v>
      </c>
    </row>
    <row r="2" spans="1:30">
      <c r="D2" s="9" t="s">
        <v>37</v>
      </c>
      <c r="E2" s="9"/>
      <c r="F2" s="9"/>
      <c r="G2" s="9"/>
      <c r="H2" s="9"/>
      <c r="I2" s="12" t="s">
        <v>43</v>
      </c>
      <c r="J2" s="12"/>
      <c r="K2" s="12"/>
      <c r="L2" s="12"/>
      <c r="M2" s="12"/>
      <c r="N2" s="11" t="s">
        <v>38</v>
      </c>
      <c r="O2" s="11"/>
      <c r="P2" s="11"/>
      <c r="Q2" s="11"/>
      <c r="R2" s="11"/>
      <c r="S2" s="13" t="s">
        <v>44</v>
      </c>
      <c r="T2" s="13"/>
      <c r="U2" s="13"/>
      <c r="V2" s="13"/>
      <c r="W2" s="13"/>
      <c r="X2" s="14" t="s">
        <v>45</v>
      </c>
      <c r="AD2" s="13" t="s">
        <v>47</v>
      </c>
    </row>
    <row r="3" spans="1:30">
      <c r="A3" s="7" t="s">
        <v>34</v>
      </c>
      <c r="B3" s="7" t="s">
        <v>35</v>
      </c>
      <c r="C3" s="8" t="s">
        <v>36</v>
      </c>
      <c r="D3" s="2">
        <v>46023</v>
      </c>
      <c r="E3" s="2">
        <f>D3+7</f>
        <v>46030</v>
      </c>
      <c r="F3" s="2">
        <f t="shared" ref="F3:G3" si="0">E3+7</f>
        <v>46037</v>
      </c>
      <c r="G3" s="2">
        <f t="shared" si="0"/>
        <v>46044</v>
      </c>
      <c r="H3" s="2">
        <f>G3+7</f>
        <v>46051</v>
      </c>
      <c r="I3" s="3">
        <v>46023</v>
      </c>
      <c r="J3" s="3">
        <f>I3+7</f>
        <v>46030</v>
      </c>
      <c r="K3" s="3">
        <f t="shared" ref="K3:M3" si="1">J3+7</f>
        <v>46037</v>
      </c>
      <c r="L3" s="3">
        <f t="shared" si="1"/>
        <v>46044</v>
      </c>
      <c r="M3" s="3">
        <f t="shared" si="1"/>
        <v>46051</v>
      </c>
      <c r="N3" s="16">
        <v>46023</v>
      </c>
      <c r="O3" s="16">
        <f>N3+7</f>
        <v>46030</v>
      </c>
      <c r="P3" s="16">
        <f t="shared" ref="P3:R3" si="2">O3+7</f>
        <v>46037</v>
      </c>
      <c r="Q3" s="16">
        <f t="shared" si="2"/>
        <v>46044</v>
      </c>
      <c r="R3" s="16">
        <f t="shared" si="2"/>
        <v>46051</v>
      </c>
      <c r="S3" s="17">
        <v>46023</v>
      </c>
      <c r="T3" s="17">
        <f>S3+7</f>
        <v>46030</v>
      </c>
      <c r="U3" s="17">
        <f t="shared" ref="U3:V3" si="3">T3+7</f>
        <v>46037</v>
      </c>
      <c r="V3" s="17">
        <f t="shared" si="3"/>
        <v>46044</v>
      </c>
      <c r="W3" s="17">
        <f>V3+7</f>
        <v>46051</v>
      </c>
      <c r="X3" s="18">
        <v>46023</v>
      </c>
      <c r="Y3" s="18">
        <f>X3+7</f>
        <v>46030</v>
      </c>
      <c r="Z3" s="18">
        <f t="shared" ref="Z3:AB3" si="4">Y3+7</f>
        <v>46037</v>
      </c>
      <c r="AA3" s="18">
        <f t="shared" si="4"/>
        <v>46044</v>
      </c>
      <c r="AB3" s="18">
        <f t="shared" si="4"/>
        <v>46051</v>
      </c>
      <c r="AC3" s="10"/>
    </row>
    <row r="4" spans="1:30">
      <c r="A4" s="5" t="s">
        <v>0</v>
      </c>
      <c r="B4" t="s">
        <v>1</v>
      </c>
      <c r="C4" s="6">
        <v>15.9</v>
      </c>
      <c r="D4">
        <v>40</v>
      </c>
      <c r="E4">
        <v>42</v>
      </c>
      <c r="F4">
        <v>39</v>
      </c>
      <c r="G4">
        <v>30</v>
      </c>
      <c r="H4">
        <v>46</v>
      </c>
      <c r="I4">
        <f>IF(D4&gt;40,D4-40,0)</f>
        <v>0</v>
      </c>
      <c r="J4">
        <f>IF(E4&gt;40,E4-40,0)</f>
        <v>2</v>
      </c>
      <c r="K4">
        <f>IF(F4&gt;40,F4-40,0)</f>
        <v>0</v>
      </c>
      <c r="L4">
        <f>IF(G4&gt;40,G4-40,0)</f>
        <v>0</v>
      </c>
      <c r="M4">
        <f>IF(H4&gt;40,H4-40,0)</f>
        <v>6</v>
      </c>
      <c r="N4" s="21">
        <f>$C4*D4</f>
        <v>636</v>
      </c>
      <c r="O4" s="21">
        <f>$C4*E4</f>
        <v>667.80000000000007</v>
      </c>
      <c r="P4" s="21">
        <f>$C4*F4</f>
        <v>620.1</v>
      </c>
      <c r="Q4" s="21">
        <f t="shared" ref="Q4:R4" si="5">$C4*G4</f>
        <v>477</v>
      </c>
      <c r="R4" s="21">
        <f t="shared" si="5"/>
        <v>731.4</v>
      </c>
      <c r="S4" s="6">
        <f>I4*$C4*0.7</f>
        <v>0</v>
      </c>
      <c r="T4" s="6">
        <f>J4*$C4*0.7</f>
        <v>22.259999999999998</v>
      </c>
      <c r="U4" s="6">
        <f t="shared" ref="U4:W4" si="6">K4*$C4*0.7</f>
        <v>0</v>
      </c>
      <c r="V4" s="6">
        <f t="shared" si="6"/>
        <v>0</v>
      </c>
      <c r="W4" s="6">
        <f t="shared" si="6"/>
        <v>66.78</v>
      </c>
      <c r="X4" s="19">
        <f>N4+S4</f>
        <v>636</v>
      </c>
      <c r="Y4" s="19">
        <f t="shared" ref="Y4:AB19" si="7">O4+T4</f>
        <v>690.06000000000006</v>
      </c>
      <c r="Z4" s="19">
        <f t="shared" si="7"/>
        <v>620.1</v>
      </c>
      <c r="AA4" s="19">
        <f t="shared" si="7"/>
        <v>477</v>
      </c>
      <c r="AB4" s="19">
        <f t="shared" si="7"/>
        <v>798.18</v>
      </c>
      <c r="AD4" s="6">
        <f>SUM(X4:AB4)</f>
        <v>3221.3399999999997</v>
      </c>
    </row>
    <row r="5" spans="1:30">
      <c r="A5" t="s">
        <v>2</v>
      </c>
      <c r="B5" t="s">
        <v>3</v>
      </c>
      <c r="C5" s="6">
        <v>10</v>
      </c>
      <c r="D5">
        <v>42</v>
      </c>
      <c r="E5">
        <v>50</v>
      </c>
      <c r="F5">
        <v>49</v>
      </c>
      <c r="G5">
        <v>38</v>
      </c>
      <c r="H5">
        <v>44</v>
      </c>
      <c r="I5">
        <f t="shared" ref="I5:I20" si="8">IF(D5&gt;40,D5-40,0)</f>
        <v>2</v>
      </c>
      <c r="J5">
        <f t="shared" ref="J5:M20" si="9">IF(E5&gt;40,E5-40,0)</f>
        <v>10</v>
      </c>
      <c r="K5">
        <f t="shared" si="9"/>
        <v>9</v>
      </c>
      <c r="L5">
        <f t="shared" si="9"/>
        <v>0</v>
      </c>
      <c r="M5">
        <f t="shared" si="9"/>
        <v>4</v>
      </c>
      <c r="N5" s="21">
        <f t="shared" ref="N5:N20" si="10">C5*D5</f>
        <v>420</v>
      </c>
      <c r="O5" s="21">
        <f t="shared" ref="O5:O20" si="11">D5*E5</f>
        <v>2100</v>
      </c>
      <c r="P5" s="21">
        <f t="shared" ref="P5:P20" si="12">E5*F5</f>
        <v>2450</v>
      </c>
      <c r="Q5" s="21">
        <f t="shared" ref="Q5:R20" si="13">F5*G5</f>
        <v>1862</v>
      </c>
      <c r="R5" s="21">
        <f t="shared" si="13"/>
        <v>1672</v>
      </c>
      <c r="S5" s="6">
        <f t="shared" ref="S5:S20" si="14">I5*C5*0.7</f>
        <v>14</v>
      </c>
      <c r="T5" s="6">
        <f t="shared" ref="T5:T20" si="15">J5*D5*0.7</f>
        <v>294</v>
      </c>
      <c r="U5" s="6">
        <f t="shared" ref="U5:W20" si="16">K5*E5*0.7</f>
        <v>315</v>
      </c>
      <c r="V5" s="6">
        <f t="shared" si="16"/>
        <v>0</v>
      </c>
      <c r="W5" s="6">
        <f t="shared" si="16"/>
        <v>106.39999999999999</v>
      </c>
      <c r="X5" s="19">
        <f t="shared" ref="X5:X20" si="17">N5+S5</f>
        <v>434</v>
      </c>
      <c r="Y5" s="19">
        <f t="shared" si="7"/>
        <v>2394</v>
      </c>
      <c r="Z5" s="19">
        <f t="shared" si="7"/>
        <v>2765</v>
      </c>
      <c r="AA5" s="19">
        <f t="shared" si="7"/>
        <v>1862</v>
      </c>
      <c r="AB5" s="19">
        <f t="shared" si="7"/>
        <v>1778.4</v>
      </c>
      <c r="AD5" s="6">
        <f t="shared" ref="AD5:AD20" si="18">SUM(X5:AB5)</f>
        <v>9233.4</v>
      </c>
    </row>
    <row r="6" spans="1:30">
      <c r="A6" t="s">
        <v>4</v>
      </c>
      <c r="B6" t="s">
        <v>5</v>
      </c>
      <c r="C6" s="6">
        <v>19.100000000000001</v>
      </c>
      <c r="D6">
        <v>29</v>
      </c>
      <c r="E6">
        <v>45</v>
      </c>
      <c r="F6">
        <v>45</v>
      </c>
      <c r="G6">
        <v>20</v>
      </c>
      <c r="H6">
        <v>43</v>
      </c>
      <c r="I6">
        <f t="shared" si="8"/>
        <v>0</v>
      </c>
      <c r="J6">
        <f t="shared" si="9"/>
        <v>5</v>
      </c>
      <c r="K6">
        <f t="shared" si="9"/>
        <v>5</v>
      </c>
      <c r="L6">
        <f t="shared" si="9"/>
        <v>0</v>
      </c>
      <c r="M6">
        <f t="shared" si="9"/>
        <v>3</v>
      </c>
      <c r="N6" s="21">
        <f t="shared" si="10"/>
        <v>553.90000000000009</v>
      </c>
      <c r="O6" s="21">
        <f t="shared" si="11"/>
        <v>1305</v>
      </c>
      <c r="P6" s="21">
        <f t="shared" si="12"/>
        <v>2025</v>
      </c>
      <c r="Q6" s="21">
        <f t="shared" si="13"/>
        <v>900</v>
      </c>
      <c r="R6" s="21">
        <f t="shared" si="13"/>
        <v>860</v>
      </c>
      <c r="S6" s="6">
        <f t="shared" si="14"/>
        <v>0</v>
      </c>
      <c r="T6" s="6">
        <f t="shared" si="15"/>
        <v>101.5</v>
      </c>
      <c r="U6" s="6">
        <f t="shared" si="16"/>
        <v>157.5</v>
      </c>
      <c r="V6" s="6">
        <f t="shared" si="16"/>
        <v>0</v>
      </c>
      <c r="W6" s="6">
        <f t="shared" si="16"/>
        <v>42</v>
      </c>
      <c r="X6" s="19">
        <f t="shared" si="17"/>
        <v>553.90000000000009</v>
      </c>
      <c r="Y6" s="19">
        <f t="shared" si="7"/>
        <v>1406.5</v>
      </c>
      <c r="Z6" s="19">
        <f t="shared" si="7"/>
        <v>2182.5</v>
      </c>
      <c r="AA6" s="19">
        <f t="shared" si="7"/>
        <v>900</v>
      </c>
      <c r="AB6" s="19">
        <f t="shared" si="7"/>
        <v>902</v>
      </c>
      <c r="AD6" s="6">
        <f t="shared" si="18"/>
        <v>5944.9</v>
      </c>
    </row>
    <row r="7" spans="1:30">
      <c r="A7" t="s">
        <v>6</v>
      </c>
      <c r="B7" t="s">
        <v>7</v>
      </c>
      <c r="C7" s="6">
        <v>6.9</v>
      </c>
      <c r="D7" s="15">
        <v>41</v>
      </c>
      <c r="E7" s="15">
        <v>42</v>
      </c>
      <c r="F7" s="15">
        <v>46</v>
      </c>
      <c r="G7" s="15">
        <v>30</v>
      </c>
      <c r="H7" s="15">
        <v>39</v>
      </c>
      <c r="I7">
        <f t="shared" si="8"/>
        <v>1</v>
      </c>
      <c r="J7">
        <f t="shared" si="9"/>
        <v>2</v>
      </c>
      <c r="K7">
        <f t="shared" si="9"/>
        <v>6</v>
      </c>
      <c r="L7">
        <f t="shared" si="9"/>
        <v>0</v>
      </c>
      <c r="M7">
        <f t="shared" si="9"/>
        <v>0</v>
      </c>
      <c r="N7" s="21">
        <f t="shared" si="10"/>
        <v>282.90000000000003</v>
      </c>
      <c r="O7" s="21">
        <f t="shared" si="11"/>
        <v>1722</v>
      </c>
      <c r="P7" s="21">
        <f t="shared" si="12"/>
        <v>1932</v>
      </c>
      <c r="Q7" s="21">
        <f t="shared" si="13"/>
        <v>1380</v>
      </c>
      <c r="R7" s="21">
        <f t="shared" si="13"/>
        <v>1170</v>
      </c>
      <c r="S7" s="6">
        <f t="shared" si="14"/>
        <v>4.83</v>
      </c>
      <c r="T7" s="6">
        <f t="shared" si="15"/>
        <v>57.4</v>
      </c>
      <c r="U7" s="6">
        <f t="shared" si="16"/>
        <v>176.39999999999998</v>
      </c>
      <c r="V7" s="6">
        <f t="shared" si="16"/>
        <v>0</v>
      </c>
      <c r="W7" s="6">
        <f t="shared" si="16"/>
        <v>0</v>
      </c>
      <c r="X7" s="19">
        <f t="shared" si="17"/>
        <v>287.73</v>
      </c>
      <c r="Y7" s="19">
        <f t="shared" si="7"/>
        <v>1779.4</v>
      </c>
      <c r="Z7" s="19">
        <f t="shared" si="7"/>
        <v>2108.4</v>
      </c>
      <c r="AA7" s="19">
        <f t="shared" si="7"/>
        <v>1380</v>
      </c>
      <c r="AB7" s="19">
        <f t="shared" si="7"/>
        <v>1170</v>
      </c>
      <c r="AD7" s="6">
        <f t="shared" si="18"/>
        <v>6725.5300000000007</v>
      </c>
    </row>
    <row r="8" spans="1:30">
      <c r="A8" t="s">
        <v>8</v>
      </c>
      <c r="B8" t="s">
        <v>9</v>
      </c>
      <c r="C8" s="6">
        <v>14.2</v>
      </c>
      <c r="D8">
        <v>39</v>
      </c>
      <c r="E8">
        <v>45</v>
      </c>
      <c r="F8">
        <v>49</v>
      </c>
      <c r="G8">
        <v>40</v>
      </c>
      <c r="H8">
        <v>18</v>
      </c>
      <c r="I8">
        <f t="shared" si="8"/>
        <v>0</v>
      </c>
      <c r="J8">
        <f t="shared" si="9"/>
        <v>5</v>
      </c>
      <c r="K8">
        <f t="shared" si="9"/>
        <v>9</v>
      </c>
      <c r="L8">
        <f t="shared" si="9"/>
        <v>0</v>
      </c>
      <c r="M8">
        <f t="shared" si="9"/>
        <v>0</v>
      </c>
      <c r="N8" s="21">
        <f t="shared" si="10"/>
        <v>553.79999999999995</v>
      </c>
      <c r="O8" s="21">
        <f t="shared" si="11"/>
        <v>1755</v>
      </c>
      <c r="P8" s="21">
        <f t="shared" si="12"/>
        <v>2205</v>
      </c>
      <c r="Q8" s="21">
        <f t="shared" si="13"/>
        <v>1960</v>
      </c>
      <c r="R8" s="21">
        <f t="shared" si="13"/>
        <v>720</v>
      </c>
      <c r="S8" s="6">
        <f t="shared" si="14"/>
        <v>0</v>
      </c>
      <c r="T8" s="6">
        <f t="shared" si="15"/>
        <v>136.5</v>
      </c>
      <c r="U8" s="6">
        <f t="shared" si="16"/>
        <v>283.5</v>
      </c>
      <c r="V8" s="6">
        <f t="shared" si="16"/>
        <v>0</v>
      </c>
      <c r="W8" s="6">
        <f t="shared" si="16"/>
        <v>0</v>
      </c>
      <c r="X8" s="19">
        <f t="shared" si="17"/>
        <v>553.79999999999995</v>
      </c>
      <c r="Y8" s="19">
        <f t="shared" si="7"/>
        <v>1891.5</v>
      </c>
      <c r="Z8" s="19">
        <f t="shared" si="7"/>
        <v>2488.5</v>
      </c>
      <c r="AA8" s="19">
        <f t="shared" si="7"/>
        <v>1960</v>
      </c>
      <c r="AB8" s="19">
        <f t="shared" si="7"/>
        <v>720</v>
      </c>
      <c r="AD8" s="6">
        <f t="shared" si="18"/>
        <v>7613.8</v>
      </c>
    </row>
    <row r="9" spans="1:30">
      <c r="A9" t="s">
        <v>10</v>
      </c>
      <c r="B9" t="s">
        <v>11</v>
      </c>
      <c r="C9" s="6">
        <v>18</v>
      </c>
      <c r="D9">
        <v>44</v>
      </c>
      <c r="E9">
        <v>40</v>
      </c>
      <c r="F9">
        <v>45</v>
      </c>
      <c r="G9">
        <v>40</v>
      </c>
      <c r="H9">
        <v>40</v>
      </c>
      <c r="I9">
        <f t="shared" si="8"/>
        <v>4</v>
      </c>
      <c r="J9">
        <f t="shared" si="9"/>
        <v>0</v>
      </c>
      <c r="K9">
        <f t="shared" si="9"/>
        <v>5</v>
      </c>
      <c r="L9">
        <f t="shared" si="9"/>
        <v>0</v>
      </c>
      <c r="M9">
        <f t="shared" si="9"/>
        <v>0</v>
      </c>
      <c r="N9" s="21">
        <f t="shared" si="10"/>
        <v>792</v>
      </c>
      <c r="O9" s="21">
        <f t="shared" si="11"/>
        <v>1760</v>
      </c>
      <c r="P9" s="21">
        <f t="shared" si="12"/>
        <v>1800</v>
      </c>
      <c r="Q9" s="21">
        <f t="shared" si="13"/>
        <v>1800</v>
      </c>
      <c r="R9" s="21">
        <f t="shared" si="13"/>
        <v>1600</v>
      </c>
      <c r="S9" s="6">
        <f t="shared" si="14"/>
        <v>50.4</v>
      </c>
      <c r="T9" s="6">
        <f t="shared" si="15"/>
        <v>0</v>
      </c>
      <c r="U9" s="6">
        <f t="shared" si="16"/>
        <v>140</v>
      </c>
      <c r="V9" s="6">
        <f t="shared" si="16"/>
        <v>0</v>
      </c>
      <c r="W9" s="6">
        <f t="shared" si="16"/>
        <v>0</v>
      </c>
      <c r="X9" s="19">
        <f t="shared" si="17"/>
        <v>842.4</v>
      </c>
      <c r="Y9" s="19">
        <f t="shared" si="7"/>
        <v>1760</v>
      </c>
      <c r="Z9" s="19">
        <f t="shared" si="7"/>
        <v>1940</v>
      </c>
      <c r="AA9" s="19">
        <f t="shared" si="7"/>
        <v>1800</v>
      </c>
      <c r="AB9" s="19">
        <f t="shared" si="7"/>
        <v>1600</v>
      </c>
      <c r="AD9" s="6">
        <f t="shared" si="18"/>
        <v>7942.4</v>
      </c>
    </row>
    <row r="10" spans="1:30">
      <c r="A10" t="s">
        <v>12</v>
      </c>
      <c r="B10" t="s">
        <v>13</v>
      </c>
      <c r="C10" s="6">
        <v>17.5</v>
      </c>
      <c r="D10">
        <v>55</v>
      </c>
      <c r="E10">
        <v>45</v>
      </c>
      <c r="F10">
        <v>42</v>
      </c>
      <c r="G10">
        <v>40</v>
      </c>
      <c r="H10">
        <v>20</v>
      </c>
      <c r="I10">
        <f t="shared" si="8"/>
        <v>15</v>
      </c>
      <c r="J10">
        <f t="shared" si="9"/>
        <v>5</v>
      </c>
      <c r="K10">
        <f t="shared" si="9"/>
        <v>2</v>
      </c>
      <c r="L10">
        <f t="shared" si="9"/>
        <v>0</v>
      </c>
      <c r="M10">
        <f t="shared" si="9"/>
        <v>0</v>
      </c>
      <c r="N10" s="21">
        <f t="shared" si="10"/>
        <v>962.5</v>
      </c>
      <c r="O10" s="21">
        <f t="shared" si="11"/>
        <v>2475</v>
      </c>
      <c r="P10" s="21">
        <f t="shared" si="12"/>
        <v>1890</v>
      </c>
      <c r="Q10" s="21">
        <f t="shared" si="13"/>
        <v>1680</v>
      </c>
      <c r="R10" s="21">
        <f t="shared" si="13"/>
        <v>800</v>
      </c>
      <c r="S10" s="6">
        <f t="shared" si="14"/>
        <v>183.75</v>
      </c>
      <c r="T10" s="6">
        <f t="shared" si="15"/>
        <v>192.5</v>
      </c>
      <c r="U10" s="6">
        <f t="shared" si="16"/>
        <v>62.999999999999993</v>
      </c>
      <c r="V10" s="6">
        <f t="shared" si="16"/>
        <v>0</v>
      </c>
      <c r="W10" s="6">
        <f t="shared" si="16"/>
        <v>0</v>
      </c>
      <c r="X10" s="19">
        <f t="shared" si="17"/>
        <v>1146.25</v>
      </c>
      <c r="Y10" s="19">
        <f t="shared" si="7"/>
        <v>2667.5</v>
      </c>
      <c r="Z10" s="19">
        <f t="shared" si="7"/>
        <v>1953</v>
      </c>
      <c r="AA10" s="19">
        <f t="shared" si="7"/>
        <v>1680</v>
      </c>
      <c r="AB10" s="19">
        <f t="shared" si="7"/>
        <v>800</v>
      </c>
      <c r="AD10" s="6">
        <f t="shared" si="18"/>
        <v>8246.75</v>
      </c>
    </row>
    <row r="11" spans="1:30">
      <c r="A11" t="s">
        <v>14</v>
      </c>
      <c r="B11" t="s">
        <v>15</v>
      </c>
      <c r="C11" s="6">
        <v>14.7</v>
      </c>
      <c r="D11">
        <v>33</v>
      </c>
      <c r="E11">
        <v>38</v>
      </c>
      <c r="F11">
        <v>41</v>
      </c>
      <c r="G11">
        <v>41</v>
      </c>
      <c r="H11">
        <v>40</v>
      </c>
      <c r="I11">
        <f t="shared" si="8"/>
        <v>0</v>
      </c>
      <c r="J11">
        <f t="shared" si="9"/>
        <v>0</v>
      </c>
      <c r="K11">
        <f t="shared" si="9"/>
        <v>1</v>
      </c>
      <c r="L11">
        <f t="shared" si="9"/>
        <v>1</v>
      </c>
      <c r="M11">
        <f t="shared" si="9"/>
        <v>0</v>
      </c>
      <c r="N11" s="21">
        <f t="shared" si="10"/>
        <v>485.09999999999997</v>
      </c>
      <c r="O11" s="21">
        <f t="shared" si="11"/>
        <v>1254</v>
      </c>
      <c r="P11" s="21">
        <f t="shared" si="12"/>
        <v>1558</v>
      </c>
      <c r="Q11" s="21">
        <f t="shared" si="13"/>
        <v>1681</v>
      </c>
      <c r="R11" s="21">
        <f t="shared" si="13"/>
        <v>1640</v>
      </c>
      <c r="S11" s="6">
        <f t="shared" si="14"/>
        <v>0</v>
      </c>
      <c r="T11" s="6">
        <f t="shared" si="15"/>
        <v>0</v>
      </c>
      <c r="U11" s="6">
        <f t="shared" si="16"/>
        <v>26.599999999999998</v>
      </c>
      <c r="V11" s="6">
        <f t="shared" si="16"/>
        <v>28.7</v>
      </c>
      <c r="W11" s="6">
        <f t="shared" si="16"/>
        <v>0</v>
      </c>
      <c r="X11" s="19">
        <f t="shared" si="17"/>
        <v>485.09999999999997</v>
      </c>
      <c r="Y11" s="19">
        <f t="shared" si="7"/>
        <v>1254</v>
      </c>
      <c r="Z11" s="19">
        <f t="shared" si="7"/>
        <v>1584.6</v>
      </c>
      <c r="AA11" s="19">
        <f t="shared" si="7"/>
        <v>1709.7</v>
      </c>
      <c r="AB11" s="19">
        <f t="shared" si="7"/>
        <v>1640</v>
      </c>
      <c r="AD11" s="6">
        <f t="shared" si="18"/>
        <v>6673.4</v>
      </c>
    </row>
    <row r="12" spans="1:30">
      <c r="A12" t="s">
        <v>16</v>
      </c>
      <c r="B12" t="s">
        <v>17</v>
      </c>
      <c r="C12" s="6">
        <v>13.9</v>
      </c>
      <c r="D12">
        <v>29</v>
      </c>
      <c r="E12">
        <v>42</v>
      </c>
      <c r="F12">
        <v>40</v>
      </c>
      <c r="G12">
        <v>39</v>
      </c>
      <c r="H12">
        <v>40</v>
      </c>
      <c r="I12">
        <f t="shared" si="8"/>
        <v>0</v>
      </c>
      <c r="J12">
        <f t="shared" si="9"/>
        <v>2</v>
      </c>
      <c r="K12">
        <f t="shared" si="9"/>
        <v>0</v>
      </c>
      <c r="L12">
        <f t="shared" si="9"/>
        <v>0</v>
      </c>
      <c r="M12">
        <f t="shared" si="9"/>
        <v>0</v>
      </c>
      <c r="N12" s="21">
        <f t="shared" si="10"/>
        <v>403.1</v>
      </c>
      <c r="O12" s="21">
        <f t="shared" si="11"/>
        <v>1218</v>
      </c>
      <c r="P12" s="21">
        <f t="shared" si="12"/>
        <v>1680</v>
      </c>
      <c r="Q12" s="21">
        <f t="shared" si="13"/>
        <v>1560</v>
      </c>
      <c r="R12" s="21">
        <f t="shared" si="13"/>
        <v>1560</v>
      </c>
      <c r="S12" s="6">
        <f t="shared" si="14"/>
        <v>0</v>
      </c>
      <c r="T12" s="6">
        <f t="shared" si="15"/>
        <v>40.599999999999994</v>
      </c>
      <c r="U12" s="6">
        <f t="shared" si="16"/>
        <v>0</v>
      </c>
      <c r="V12" s="6">
        <f t="shared" si="16"/>
        <v>0</v>
      </c>
      <c r="W12" s="6">
        <f t="shared" si="16"/>
        <v>0</v>
      </c>
      <c r="X12" s="19">
        <f t="shared" si="17"/>
        <v>403.1</v>
      </c>
      <c r="Y12" s="19">
        <f t="shared" si="7"/>
        <v>1258.5999999999999</v>
      </c>
      <c r="Z12" s="19">
        <f t="shared" si="7"/>
        <v>1680</v>
      </c>
      <c r="AA12" s="19">
        <f t="shared" si="7"/>
        <v>1560</v>
      </c>
      <c r="AB12" s="19">
        <f t="shared" si="7"/>
        <v>1560</v>
      </c>
      <c r="AD12" s="6">
        <f t="shared" si="18"/>
        <v>6461.7</v>
      </c>
    </row>
    <row r="13" spans="1:30">
      <c r="A13" t="s">
        <v>18</v>
      </c>
      <c r="B13" t="s">
        <v>32</v>
      </c>
      <c r="C13" s="6">
        <v>11.2</v>
      </c>
      <c r="D13">
        <v>40</v>
      </c>
      <c r="E13">
        <v>42</v>
      </c>
      <c r="F13">
        <v>39</v>
      </c>
      <c r="G13">
        <v>42</v>
      </c>
      <c r="H13">
        <v>49</v>
      </c>
      <c r="I13">
        <f t="shared" si="8"/>
        <v>0</v>
      </c>
      <c r="J13">
        <f t="shared" si="9"/>
        <v>2</v>
      </c>
      <c r="K13">
        <f t="shared" si="9"/>
        <v>0</v>
      </c>
      <c r="L13">
        <f t="shared" si="9"/>
        <v>2</v>
      </c>
      <c r="M13">
        <f t="shared" si="9"/>
        <v>9</v>
      </c>
      <c r="N13" s="21">
        <f t="shared" si="10"/>
        <v>448</v>
      </c>
      <c r="O13" s="21">
        <f t="shared" si="11"/>
        <v>1680</v>
      </c>
      <c r="P13" s="21">
        <f t="shared" si="12"/>
        <v>1638</v>
      </c>
      <c r="Q13" s="21">
        <f t="shared" si="13"/>
        <v>1638</v>
      </c>
      <c r="R13" s="21">
        <f t="shared" si="13"/>
        <v>2058</v>
      </c>
      <c r="S13" s="6">
        <f t="shared" si="14"/>
        <v>0</v>
      </c>
      <c r="T13" s="6">
        <f t="shared" si="15"/>
        <v>56</v>
      </c>
      <c r="U13" s="6">
        <f t="shared" si="16"/>
        <v>0</v>
      </c>
      <c r="V13" s="6">
        <f t="shared" si="16"/>
        <v>54.599999999999994</v>
      </c>
      <c r="W13" s="6">
        <f t="shared" si="16"/>
        <v>264.59999999999997</v>
      </c>
      <c r="X13" s="19">
        <f t="shared" si="17"/>
        <v>448</v>
      </c>
      <c r="Y13" s="19">
        <f t="shared" si="7"/>
        <v>1736</v>
      </c>
      <c r="Z13" s="19">
        <f t="shared" si="7"/>
        <v>1638</v>
      </c>
      <c r="AA13" s="19">
        <f t="shared" si="7"/>
        <v>1692.6</v>
      </c>
      <c r="AB13" s="19">
        <f t="shared" si="7"/>
        <v>2322.6</v>
      </c>
      <c r="AD13" s="6">
        <f t="shared" si="18"/>
        <v>7837.2000000000007</v>
      </c>
    </row>
    <row r="14" spans="1:30">
      <c r="A14" t="s">
        <v>19</v>
      </c>
      <c r="B14" t="s">
        <v>20</v>
      </c>
      <c r="C14" s="6">
        <v>10.1</v>
      </c>
      <c r="D14">
        <v>40</v>
      </c>
      <c r="E14">
        <v>43</v>
      </c>
      <c r="F14">
        <v>43</v>
      </c>
      <c r="G14">
        <v>41</v>
      </c>
      <c r="H14">
        <v>50</v>
      </c>
      <c r="I14">
        <f t="shared" si="8"/>
        <v>0</v>
      </c>
      <c r="J14">
        <f t="shared" si="9"/>
        <v>3</v>
      </c>
      <c r="K14">
        <f t="shared" si="9"/>
        <v>3</v>
      </c>
      <c r="L14">
        <f t="shared" si="9"/>
        <v>1</v>
      </c>
      <c r="M14">
        <f t="shared" si="9"/>
        <v>10</v>
      </c>
      <c r="N14" s="21">
        <f t="shared" si="10"/>
        <v>404</v>
      </c>
      <c r="O14" s="21">
        <f t="shared" si="11"/>
        <v>1720</v>
      </c>
      <c r="P14" s="21">
        <f t="shared" si="12"/>
        <v>1849</v>
      </c>
      <c r="Q14" s="21">
        <f t="shared" si="13"/>
        <v>1763</v>
      </c>
      <c r="R14" s="21">
        <f t="shared" si="13"/>
        <v>2050</v>
      </c>
      <c r="S14" s="6">
        <f t="shared" si="14"/>
        <v>0</v>
      </c>
      <c r="T14" s="6">
        <f t="shared" si="15"/>
        <v>84</v>
      </c>
      <c r="U14" s="6">
        <f t="shared" si="16"/>
        <v>90.3</v>
      </c>
      <c r="V14" s="6">
        <f t="shared" si="16"/>
        <v>30.099999999999998</v>
      </c>
      <c r="W14" s="6">
        <f t="shared" si="16"/>
        <v>287</v>
      </c>
      <c r="X14" s="19">
        <f t="shared" si="17"/>
        <v>404</v>
      </c>
      <c r="Y14" s="19">
        <f t="shared" si="7"/>
        <v>1804</v>
      </c>
      <c r="Z14" s="19">
        <f t="shared" si="7"/>
        <v>1939.3</v>
      </c>
      <c r="AA14" s="19">
        <f t="shared" si="7"/>
        <v>1793.1</v>
      </c>
      <c r="AB14" s="19">
        <f t="shared" si="7"/>
        <v>2337</v>
      </c>
      <c r="AD14" s="6">
        <f t="shared" si="18"/>
        <v>8277.4</v>
      </c>
    </row>
    <row r="15" spans="1:30">
      <c r="A15" t="s">
        <v>21</v>
      </c>
      <c r="B15" t="s">
        <v>22</v>
      </c>
      <c r="C15" s="6">
        <v>9</v>
      </c>
      <c r="D15">
        <v>40</v>
      </c>
      <c r="E15">
        <v>41</v>
      </c>
      <c r="F15">
        <v>50</v>
      </c>
      <c r="G15">
        <v>40</v>
      </c>
      <c r="H15">
        <v>41</v>
      </c>
      <c r="I15">
        <f t="shared" si="8"/>
        <v>0</v>
      </c>
      <c r="J15">
        <f t="shared" si="9"/>
        <v>1</v>
      </c>
      <c r="K15">
        <f t="shared" si="9"/>
        <v>10</v>
      </c>
      <c r="L15">
        <f t="shared" si="9"/>
        <v>0</v>
      </c>
      <c r="M15">
        <f t="shared" si="9"/>
        <v>1</v>
      </c>
      <c r="N15" s="21">
        <f t="shared" si="10"/>
        <v>360</v>
      </c>
      <c r="O15" s="21">
        <f t="shared" si="11"/>
        <v>1640</v>
      </c>
      <c r="P15" s="21">
        <f t="shared" si="12"/>
        <v>2050</v>
      </c>
      <c r="Q15" s="21">
        <f t="shared" si="13"/>
        <v>2000</v>
      </c>
      <c r="R15" s="21">
        <f t="shared" si="13"/>
        <v>1640</v>
      </c>
      <c r="S15" s="6">
        <f t="shared" si="14"/>
        <v>0</v>
      </c>
      <c r="T15" s="6">
        <f t="shared" si="15"/>
        <v>28</v>
      </c>
      <c r="U15" s="6">
        <f t="shared" si="16"/>
        <v>287</v>
      </c>
      <c r="V15" s="6">
        <f t="shared" si="16"/>
        <v>0</v>
      </c>
      <c r="W15" s="6">
        <f t="shared" si="16"/>
        <v>28</v>
      </c>
      <c r="X15" s="19">
        <f t="shared" si="17"/>
        <v>360</v>
      </c>
      <c r="Y15" s="19">
        <f t="shared" si="7"/>
        <v>1668</v>
      </c>
      <c r="Z15" s="19">
        <f t="shared" si="7"/>
        <v>2337</v>
      </c>
      <c r="AA15" s="19">
        <f t="shared" si="7"/>
        <v>2000</v>
      </c>
      <c r="AB15" s="19">
        <f t="shared" si="7"/>
        <v>1668</v>
      </c>
      <c r="AD15" s="6">
        <f t="shared" si="18"/>
        <v>8033</v>
      </c>
    </row>
    <row r="16" spans="1:30">
      <c r="A16" t="s">
        <v>23</v>
      </c>
      <c r="B16" t="s">
        <v>24</v>
      </c>
      <c r="C16" s="6">
        <v>8.44</v>
      </c>
      <c r="D16">
        <v>42</v>
      </c>
      <c r="E16">
        <v>45</v>
      </c>
      <c r="F16">
        <v>40</v>
      </c>
      <c r="G16">
        <v>30</v>
      </c>
      <c r="H16">
        <v>39</v>
      </c>
      <c r="I16">
        <f t="shared" si="8"/>
        <v>2</v>
      </c>
      <c r="J16">
        <f t="shared" si="9"/>
        <v>5</v>
      </c>
      <c r="K16">
        <f t="shared" si="9"/>
        <v>0</v>
      </c>
      <c r="L16">
        <f t="shared" si="9"/>
        <v>0</v>
      </c>
      <c r="M16">
        <f t="shared" si="9"/>
        <v>0</v>
      </c>
      <c r="N16" s="21">
        <f t="shared" si="10"/>
        <v>354.47999999999996</v>
      </c>
      <c r="O16" s="21">
        <f t="shared" si="11"/>
        <v>1890</v>
      </c>
      <c r="P16" s="21">
        <f t="shared" si="12"/>
        <v>1800</v>
      </c>
      <c r="Q16" s="21">
        <f t="shared" si="13"/>
        <v>1200</v>
      </c>
      <c r="R16" s="21">
        <f t="shared" si="13"/>
        <v>1170</v>
      </c>
      <c r="S16" s="6">
        <f t="shared" si="14"/>
        <v>11.815999999999999</v>
      </c>
      <c r="T16" s="6">
        <f t="shared" si="15"/>
        <v>147</v>
      </c>
      <c r="U16" s="6">
        <f t="shared" si="16"/>
        <v>0</v>
      </c>
      <c r="V16" s="6">
        <f t="shared" si="16"/>
        <v>0</v>
      </c>
      <c r="W16" s="6">
        <f t="shared" si="16"/>
        <v>0</v>
      </c>
      <c r="X16" s="19">
        <f t="shared" si="17"/>
        <v>366.29599999999994</v>
      </c>
      <c r="Y16" s="19">
        <f t="shared" si="7"/>
        <v>2037</v>
      </c>
      <c r="Z16" s="19">
        <f t="shared" si="7"/>
        <v>1800</v>
      </c>
      <c r="AA16" s="19">
        <f t="shared" si="7"/>
        <v>1200</v>
      </c>
      <c r="AB16" s="19">
        <f t="shared" si="7"/>
        <v>1170</v>
      </c>
      <c r="AD16" s="6">
        <f t="shared" si="18"/>
        <v>6573.2960000000003</v>
      </c>
    </row>
    <row r="17" spans="1:30">
      <c r="A17" t="s">
        <v>25</v>
      </c>
      <c r="B17" s="5" t="s">
        <v>48</v>
      </c>
      <c r="C17" s="6">
        <v>14.2</v>
      </c>
      <c r="D17">
        <v>40</v>
      </c>
      <c r="E17">
        <v>40</v>
      </c>
      <c r="F17">
        <v>42</v>
      </c>
      <c r="G17">
        <v>28</v>
      </c>
      <c r="H17">
        <v>20</v>
      </c>
      <c r="I17">
        <f t="shared" si="8"/>
        <v>0</v>
      </c>
      <c r="J17">
        <f t="shared" si="9"/>
        <v>0</v>
      </c>
      <c r="K17">
        <f t="shared" si="9"/>
        <v>2</v>
      </c>
      <c r="L17">
        <f t="shared" si="9"/>
        <v>0</v>
      </c>
      <c r="M17">
        <f t="shared" si="9"/>
        <v>0</v>
      </c>
      <c r="N17" s="21">
        <f t="shared" si="10"/>
        <v>568</v>
      </c>
      <c r="O17" s="21">
        <f t="shared" si="11"/>
        <v>1600</v>
      </c>
      <c r="P17" s="21">
        <f t="shared" si="12"/>
        <v>1680</v>
      </c>
      <c r="Q17" s="21">
        <f t="shared" si="13"/>
        <v>1176</v>
      </c>
      <c r="R17" s="21">
        <f t="shared" si="13"/>
        <v>560</v>
      </c>
      <c r="S17" s="6">
        <f t="shared" si="14"/>
        <v>0</v>
      </c>
      <c r="T17" s="6">
        <f t="shared" si="15"/>
        <v>0</v>
      </c>
      <c r="U17" s="6">
        <f t="shared" si="16"/>
        <v>56</v>
      </c>
      <c r="V17" s="6">
        <f t="shared" si="16"/>
        <v>0</v>
      </c>
      <c r="W17" s="6">
        <f t="shared" si="16"/>
        <v>0</v>
      </c>
      <c r="X17" s="19">
        <f t="shared" si="17"/>
        <v>568</v>
      </c>
      <c r="Y17" s="19">
        <f t="shared" si="7"/>
        <v>1600</v>
      </c>
      <c r="Z17" s="19">
        <f t="shared" si="7"/>
        <v>1736</v>
      </c>
      <c r="AA17" s="19">
        <f t="shared" si="7"/>
        <v>1176</v>
      </c>
      <c r="AB17" s="19">
        <f t="shared" si="7"/>
        <v>560</v>
      </c>
      <c r="AD17" s="6">
        <f t="shared" si="18"/>
        <v>5640</v>
      </c>
    </row>
    <row r="18" spans="1:30">
      <c r="A18" t="s">
        <v>26</v>
      </c>
      <c r="B18" t="s">
        <v>27</v>
      </c>
      <c r="C18" s="6">
        <v>45</v>
      </c>
      <c r="D18">
        <v>40</v>
      </c>
      <c r="E18">
        <v>48</v>
      </c>
      <c r="F18">
        <v>45</v>
      </c>
      <c r="G18">
        <v>39</v>
      </c>
      <c r="H18">
        <v>40</v>
      </c>
      <c r="I18">
        <f t="shared" si="8"/>
        <v>0</v>
      </c>
      <c r="J18">
        <f t="shared" si="9"/>
        <v>8</v>
      </c>
      <c r="K18">
        <f t="shared" si="9"/>
        <v>5</v>
      </c>
      <c r="L18">
        <f t="shared" si="9"/>
        <v>0</v>
      </c>
      <c r="M18">
        <f t="shared" si="9"/>
        <v>0</v>
      </c>
      <c r="N18" s="21">
        <f t="shared" si="10"/>
        <v>1800</v>
      </c>
      <c r="O18" s="21">
        <f t="shared" si="11"/>
        <v>1920</v>
      </c>
      <c r="P18" s="21">
        <f t="shared" si="12"/>
        <v>2160</v>
      </c>
      <c r="Q18" s="21">
        <f t="shared" si="13"/>
        <v>1755</v>
      </c>
      <c r="R18" s="21">
        <f t="shared" si="13"/>
        <v>1560</v>
      </c>
      <c r="S18" s="6">
        <f t="shared" si="14"/>
        <v>0</v>
      </c>
      <c r="T18" s="6">
        <f t="shared" si="15"/>
        <v>224</v>
      </c>
      <c r="U18" s="6">
        <f t="shared" si="16"/>
        <v>168</v>
      </c>
      <c r="V18" s="6">
        <f t="shared" si="16"/>
        <v>0</v>
      </c>
      <c r="W18" s="6">
        <f t="shared" si="16"/>
        <v>0</v>
      </c>
      <c r="X18" s="19">
        <f t="shared" si="17"/>
        <v>1800</v>
      </c>
      <c r="Y18" s="19">
        <f t="shared" si="7"/>
        <v>2144</v>
      </c>
      <c r="Z18" s="19">
        <f t="shared" si="7"/>
        <v>2328</v>
      </c>
      <c r="AA18" s="19">
        <f t="shared" si="7"/>
        <v>1755</v>
      </c>
      <c r="AB18" s="19">
        <f t="shared" si="7"/>
        <v>1560</v>
      </c>
      <c r="AD18" s="6">
        <f t="shared" si="18"/>
        <v>9587</v>
      </c>
    </row>
    <row r="19" spans="1:30">
      <c r="A19" t="s">
        <v>28</v>
      </c>
      <c r="B19" t="s">
        <v>29</v>
      </c>
      <c r="C19" s="6">
        <v>30</v>
      </c>
      <c r="D19">
        <v>41</v>
      </c>
      <c r="E19">
        <v>49</v>
      </c>
      <c r="F19">
        <v>49</v>
      </c>
      <c r="G19">
        <v>49</v>
      </c>
      <c r="H19">
        <v>24</v>
      </c>
      <c r="I19">
        <f t="shared" si="8"/>
        <v>1</v>
      </c>
      <c r="J19">
        <f t="shared" si="9"/>
        <v>9</v>
      </c>
      <c r="K19">
        <f t="shared" si="9"/>
        <v>9</v>
      </c>
      <c r="L19">
        <f t="shared" si="9"/>
        <v>9</v>
      </c>
      <c r="M19">
        <f t="shared" si="9"/>
        <v>0</v>
      </c>
      <c r="N19" s="21">
        <f t="shared" si="10"/>
        <v>1230</v>
      </c>
      <c r="O19" s="21">
        <f t="shared" si="11"/>
        <v>2009</v>
      </c>
      <c r="P19" s="21">
        <f t="shared" si="12"/>
        <v>2401</v>
      </c>
      <c r="Q19" s="21">
        <f t="shared" si="13"/>
        <v>2401</v>
      </c>
      <c r="R19" s="21">
        <f t="shared" si="13"/>
        <v>1176</v>
      </c>
      <c r="S19" s="6">
        <f t="shared" si="14"/>
        <v>21</v>
      </c>
      <c r="T19" s="6">
        <f t="shared" si="15"/>
        <v>258.3</v>
      </c>
      <c r="U19" s="6">
        <f t="shared" si="16"/>
        <v>308.7</v>
      </c>
      <c r="V19" s="6">
        <f t="shared" si="16"/>
        <v>308.7</v>
      </c>
      <c r="W19" s="6">
        <f t="shared" si="16"/>
        <v>0</v>
      </c>
      <c r="X19" s="19">
        <f t="shared" si="17"/>
        <v>1251</v>
      </c>
      <c r="Y19" s="19">
        <f t="shared" si="7"/>
        <v>2267.3000000000002</v>
      </c>
      <c r="Z19" s="19">
        <f t="shared" si="7"/>
        <v>2709.7</v>
      </c>
      <c r="AA19" s="19">
        <f t="shared" si="7"/>
        <v>2709.7</v>
      </c>
      <c r="AB19" s="19">
        <f t="shared" si="7"/>
        <v>1176</v>
      </c>
      <c r="AD19" s="6">
        <f t="shared" si="18"/>
        <v>10113.700000000001</v>
      </c>
    </row>
    <row r="20" spans="1:30">
      <c r="A20" t="s">
        <v>30</v>
      </c>
      <c r="B20" t="s">
        <v>31</v>
      </c>
      <c r="C20" s="6">
        <v>22</v>
      </c>
      <c r="D20">
        <v>39</v>
      </c>
      <c r="E20">
        <v>45</v>
      </c>
      <c r="F20">
        <v>41</v>
      </c>
      <c r="G20">
        <v>60</v>
      </c>
      <c r="H20">
        <v>39</v>
      </c>
      <c r="I20">
        <f t="shared" si="8"/>
        <v>0</v>
      </c>
      <c r="J20">
        <f t="shared" si="9"/>
        <v>5</v>
      </c>
      <c r="K20">
        <f t="shared" si="9"/>
        <v>1</v>
      </c>
      <c r="L20">
        <f t="shared" si="9"/>
        <v>20</v>
      </c>
      <c r="M20">
        <f t="shared" si="9"/>
        <v>0</v>
      </c>
      <c r="N20" s="21">
        <f t="shared" si="10"/>
        <v>858</v>
      </c>
      <c r="O20" s="21">
        <f t="shared" si="11"/>
        <v>1755</v>
      </c>
      <c r="P20" s="21">
        <f t="shared" si="12"/>
        <v>1845</v>
      </c>
      <c r="Q20" s="21">
        <f t="shared" si="13"/>
        <v>2460</v>
      </c>
      <c r="R20" s="21">
        <f t="shared" si="13"/>
        <v>2340</v>
      </c>
      <c r="S20" s="6">
        <f t="shared" si="14"/>
        <v>0</v>
      </c>
      <c r="T20" s="6">
        <f t="shared" si="15"/>
        <v>136.5</v>
      </c>
      <c r="U20" s="6">
        <f t="shared" si="16"/>
        <v>31.499999999999996</v>
      </c>
      <c r="V20" s="6">
        <f t="shared" si="16"/>
        <v>574</v>
      </c>
      <c r="W20" s="6">
        <f t="shared" si="16"/>
        <v>0</v>
      </c>
      <c r="X20" s="19">
        <f t="shared" si="17"/>
        <v>858</v>
      </c>
      <c r="Y20" s="19">
        <f t="shared" ref="Y20" si="19">O20+T20</f>
        <v>1891.5</v>
      </c>
      <c r="Z20" s="19">
        <f t="shared" ref="Z20" si="20">P20+U20</f>
        <v>1876.5</v>
      </c>
      <c r="AA20" s="19">
        <f t="shared" ref="AA20" si="21">Q20+V20</f>
        <v>3034</v>
      </c>
      <c r="AB20" s="19">
        <f t="shared" ref="AB20" si="22">R20+W20</f>
        <v>2340</v>
      </c>
      <c r="AD20" s="6">
        <f t="shared" si="18"/>
        <v>10000</v>
      </c>
    </row>
    <row r="22" spans="1:30">
      <c r="A22" s="5" t="s">
        <v>39</v>
      </c>
      <c r="C22" s="6">
        <f>MAX(C4:C20)</f>
        <v>45</v>
      </c>
      <c r="D22">
        <f>MAX(D4:D20)</f>
        <v>55</v>
      </c>
      <c r="N22" s="6">
        <f>MAX(N4:N20)</f>
        <v>1800</v>
      </c>
      <c r="O22" s="6">
        <f t="shared" ref="O22:R22" si="23">MAX(O4:O20)</f>
        <v>2475</v>
      </c>
      <c r="P22" s="6">
        <f t="shared" si="23"/>
        <v>2450</v>
      </c>
      <c r="Q22" s="6">
        <f t="shared" si="23"/>
        <v>2460</v>
      </c>
      <c r="R22" s="6">
        <f t="shared" si="23"/>
        <v>2340</v>
      </c>
      <c r="X22" s="6">
        <f>MAX(X4:X20)</f>
        <v>1800</v>
      </c>
      <c r="Y22" s="6">
        <f t="shared" ref="Y22:AB22" si="24">MAX(Y4:Y20)</f>
        <v>2667.5</v>
      </c>
      <c r="Z22" s="6">
        <f t="shared" si="24"/>
        <v>2765</v>
      </c>
      <c r="AA22" s="6">
        <f t="shared" si="24"/>
        <v>3034</v>
      </c>
      <c r="AB22" s="6">
        <f t="shared" si="24"/>
        <v>2340</v>
      </c>
    </row>
    <row r="23" spans="1:30">
      <c r="A23" s="5" t="s">
        <v>40</v>
      </c>
      <c r="C23" s="6">
        <f>MIN(C4:C20)</f>
        <v>6.9</v>
      </c>
      <c r="D23">
        <f>MIN(D4:D20)</f>
        <v>29</v>
      </c>
      <c r="N23" s="6">
        <f>MIN(N4:N20)</f>
        <v>282.90000000000003</v>
      </c>
      <c r="O23" s="6">
        <f t="shared" ref="O23:R23" si="25">MIN(O4:O20)</f>
        <v>667.80000000000007</v>
      </c>
      <c r="P23" s="6">
        <f t="shared" si="25"/>
        <v>620.1</v>
      </c>
      <c r="Q23" s="6">
        <f t="shared" si="25"/>
        <v>477</v>
      </c>
      <c r="R23" s="6">
        <f t="shared" si="25"/>
        <v>560</v>
      </c>
      <c r="X23" s="6">
        <f>MIN(X4:X20)</f>
        <v>287.73</v>
      </c>
      <c r="Y23" s="6">
        <f t="shared" ref="Y23:AB23" si="26">MIN(Y4:Y20)</f>
        <v>690.06000000000006</v>
      </c>
      <c r="Z23" s="6">
        <f t="shared" si="26"/>
        <v>620.1</v>
      </c>
      <c r="AA23" s="6">
        <f t="shared" si="26"/>
        <v>477</v>
      </c>
      <c r="AB23" s="6">
        <f t="shared" si="26"/>
        <v>560</v>
      </c>
    </row>
    <row r="24" spans="1:30">
      <c r="A24" s="5" t="s">
        <v>41</v>
      </c>
      <c r="C24" s="6">
        <f>AVERAGE(C4:C20)</f>
        <v>16.478823529411763</v>
      </c>
      <c r="D24" s="1">
        <f>AVERAGE(D4:D20)</f>
        <v>39.647058823529413</v>
      </c>
      <c r="E24" s="1"/>
      <c r="F24" s="1"/>
      <c r="G24" s="1"/>
      <c r="H24" s="1"/>
      <c r="N24" s="6">
        <f>AVERAGE(N4:N20)</f>
        <v>653.63411764705882</v>
      </c>
      <c r="O24" s="6">
        <f t="shared" ref="O24:R24" si="27">AVERAGE(O4:O20)</f>
        <v>1674.7529411764706</v>
      </c>
      <c r="P24" s="6">
        <f t="shared" si="27"/>
        <v>1857.8294117647058</v>
      </c>
      <c r="Q24" s="6">
        <f t="shared" si="27"/>
        <v>1629</v>
      </c>
      <c r="R24" s="6">
        <f t="shared" si="27"/>
        <v>1371.0235294117647</v>
      </c>
      <c r="X24" s="6">
        <f>AVERAGE(X4:X20)</f>
        <v>670.44564705882362</v>
      </c>
      <c r="Y24" s="6">
        <f t="shared" ref="Y24:AB24" si="28">AVERAGE(Y4:Y20)</f>
        <v>1779.3741176470587</v>
      </c>
      <c r="Z24" s="6">
        <f t="shared" si="28"/>
        <v>1981.5647058823529</v>
      </c>
      <c r="AA24" s="6">
        <f t="shared" si="28"/>
        <v>1687.594117647059</v>
      </c>
      <c r="AB24" s="6">
        <f t="shared" si="28"/>
        <v>1417.775294117647</v>
      </c>
    </row>
    <row r="25" spans="1:30">
      <c r="A25" s="5" t="s">
        <v>42</v>
      </c>
      <c r="C25" s="6">
        <f>SUM(C4:C20)</f>
        <v>280.14</v>
      </c>
      <c r="N25" s="6">
        <f>SUM(N4:N20)</f>
        <v>11111.78</v>
      </c>
      <c r="O25" s="6">
        <f>SUM(O4:O20)</f>
        <v>28470.799999999999</v>
      </c>
      <c r="P25" s="6">
        <f t="shared" ref="P25:AD25" si="29">SUM(P4:P20)</f>
        <v>31583.1</v>
      </c>
      <c r="Q25" s="6">
        <f t="shared" si="29"/>
        <v>27693</v>
      </c>
      <c r="R25" s="6">
        <f t="shared" si="29"/>
        <v>23307.4</v>
      </c>
      <c r="S25" s="6">
        <f t="shared" si="29"/>
        <v>285.79599999999999</v>
      </c>
      <c r="T25" s="6">
        <f t="shared" si="29"/>
        <v>1778.56</v>
      </c>
      <c r="U25" s="6">
        <f t="shared" si="29"/>
        <v>2103.5</v>
      </c>
      <c r="V25" s="6">
        <f t="shared" si="29"/>
        <v>996.09999999999991</v>
      </c>
      <c r="W25" s="6">
        <f t="shared" si="29"/>
        <v>794.78</v>
      </c>
      <c r="X25" s="6">
        <f t="shared" si="29"/>
        <v>11397.576000000001</v>
      </c>
      <c r="Y25" s="6">
        <f t="shared" si="29"/>
        <v>30249.359999999997</v>
      </c>
      <c r="Z25" s="6">
        <f t="shared" si="29"/>
        <v>33686.6</v>
      </c>
      <c r="AA25" s="6">
        <f t="shared" si="29"/>
        <v>28689.100000000002</v>
      </c>
      <c r="AB25" s="6">
        <f t="shared" si="29"/>
        <v>24102.18</v>
      </c>
      <c r="AC25" s="6">
        <f t="shared" si="29"/>
        <v>0</v>
      </c>
      <c r="AD25" s="6">
        <f t="shared" si="29"/>
        <v>128124.81599999999</v>
      </c>
    </row>
    <row r="28" spans="1:30">
      <c r="J28" s="20"/>
    </row>
    <row r="31" spans="1:30">
      <c r="X31" s="6"/>
    </row>
    <row r="33" spans="18:18">
      <c r="R33" s="5" t="s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Maryam Oyinkansola Alabi</cp:lastModifiedBy>
  <dcterms:created xsi:type="dcterms:W3CDTF">2026-05-19T11:37:00Z</dcterms:created>
  <dcterms:modified xsi:type="dcterms:W3CDTF">2026-07-21T13:03:37Z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7CD8FAC894514323BAA52E12940F83B8_12</vt:lpwstr>
  </property>
  <property fmtid="{D5CDD505-2E9C-101B-9397-08002B2CF9AE}" pid="3" name="KSOProductBuildVer">
    <vt:lpwstr>1033-12.2.0.23196</vt:lpwstr>
  </property>
</Properties>
</file>